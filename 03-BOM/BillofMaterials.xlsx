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fr5\Downloads\"/>
    </mc:Choice>
  </mc:AlternateContent>
  <xr:revisionPtr revIDLastSave="0" documentId="8_{D44632F5-2345-49CF-9713-1D9CDF556E4C}" xr6:coauthVersionLast="47" xr6:coauthVersionMax="47" xr10:uidLastSave="{00000000-0000-0000-0000-000000000000}"/>
  <bookViews>
    <workbookView xWindow="1380" yWindow="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0" i="1"/>
  <c r="E9" i="1" l="1"/>
  <c r="E8" i="1"/>
  <c r="E7" i="1"/>
  <c r="E6" i="1"/>
  <c r="E5" i="1"/>
  <c r="E4" i="1"/>
</calcChain>
</file>

<file path=xl/sharedStrings.xml><?xml version="1.0" encoding="utf-8"?>
<sst xmlns="http://schemas.openxmlformats.org/spreadsheetml/2006/main" count="70" uniqueCount="63">
  <si>
    <t>Bill of Materials Example</t>
  </si>
  <si>
    <t>Part Name/Description</t>
  </si>
  <si>
    <t>Manufacturer</t>
  </si>
  <si>
    <t>Manufacturer Part #</t>
  </si>
  <si>
    <t>Vendor Link</t>
  </si>
  <si>
    <t>Datasheet Link</t>
  </si>
  <si>
    <t>Supplier</t>
  </si>
  <si>
    <t>Supplier Part #</t>
  </si>
  <si>
    <t>Schematic Reference Designators</t>
  </si>
  <si>
    <t>U1</t>
  </si>
  <si>
    <t>Multicomp</t>
  </si>
  <si>
    <t>MCU0805R104KCT</t>
  </si>
  <si>
    <t>PRLTA 109</t>
  </si>
  <si>
    <t>n/a</t>
  </si>
  <si>
    <t>Vishay Dale</t>
  </si>
  <si>
    <t>CRCW080510K0JNEB</t>
  </si>
  <si>
    <t>65J1362</t>
  </si>
  <si>
    <t>8-bit PISO Shift Register</t>
  </si>
  <si>
    <t>74HC165-Q100</t>
  </si>
  <si>
    <t>https://www.mouser.com/ProductDetail/Nexperia/74HC165D-Q100118?qs=sGAEpiMZZMutXGli8Ay4kD1Rik6g2cV%252B%252BQvCmhxAH0s%3D</t>
  </si>
  <si>
    <t>Nexperia</t>
  </si>
  <si>
    <t>https://assets.nexperia.com/documents/data-sheet/74HC_HCT165_Q100.pdf</t>
  </si>
  <si>
    <t>Mouser</t>
  </si>
  <si>
    <t>771-74HC165D-Q100</t>
  </si>
  <si>
    <t>Voltage Regulator</t>
  </si>
  <si>
    <t>Pushbutton Switch</t>
  </si>
  <si>
    <t>611-PTS645SL502</t>
  </si>
  <si>
    <t>PTS645SL50-2 LFS</t>
  </si>
  <si>
    <t>C&amp;K</t>
  </si>
  <si>
    <t>785-1438-5-ND</t>
  </si>
  <si>
    <t>DigiKey</t>
  </si>
  <si>
    <t>Alpha &amp; Omega Sumiconductor</t>
  </si>
  <si>
    <t xml:space="preserve">	
AOT2618L</t>
  </si>
  <si>
    <t>https://www.digikey.com/en/products/detail/alpha-omega-semiconductor-inc/AOT2618L/3603378</t>
  </si>
  <si>
    <t>https://www.aosmd.com/res/datasheets/AOT2618L.pdf</t>
  </si>
  <si>
    <t>https://www.mouser.com/ProductDetail/CK/PTS645SL50-2-LFS?qs=rqnA19JZHeTZYaJU%252B5olWA%3D%3D</t>
  </si>
  <si>
    <t>https://www.ck-components.com/media/1471/pts645.pdf</t>
  </si>
  <si>
    <t>PIC Curiosity Nano Dev Kit</t>
  </si>
  <si>
    <t>Microchip</t>
  </si>
  <si>
    <t>DM164150</t>
  </si>
  <si>
    <t>Total Cost</t>
  </si>
  <si>
    <t>0.1 µF Ceramic Capacitor</t>
  </si>
  <si>
    <t>10 kΩ Thick Film Resistor</t>
  </si>
  <si>
    <t>Quantity</t>
  </si>
  <si>
    <t>Unit Cost</t>
  </si>
  <si>
    <t>C2</t>
  </si>
  <si>
    <t>MLS_VR1</t>
  </si>
  <si>
    <t>SW1, SW2, SW3, SW4, SW5, SW6, SW7, SW8</t>
  </si>
  <si>
    <t>MLS_PIC18F57Q2</t>
  </si>
  <si>
    <t>R2, R3, R4, R5, R6, R7, R8, R9</t>
  </si>
  <si>
    <t>Fuse</t>
  </si>
  <si>
    <t>OptiFuse</t>
  </si>
  <si>
    <t>2298-TSA-1.2A-ND</t>
  </si>
  <si>
    <t>https://www.digikey.com/en/products/detail/optifuse/TSA-1-2A/12089530</t>
  </si>
  <si>
    <t>https://www.optifuse.com/optifuse_ecommerce_tools/datasheets/TSA.pdf</t>
  </si>
  <si>
    <t>TSA-1.2A</t>
  </si>
  <si>
    <t>F1</t>
  </si>
  <si>
    <t>Fuse Block</t>
  </si>
  <si>
    <t>Eaton</t>
  </si>
  <si>
    <t>BK4-S-4004-1-R</t>
  </si>
  <si>
    <t>https://www.digikey.com/en/products/detail/eaton-electronics-division/BK4-S-4004-1-R/13983174</t>
  </si>
  <si>
    <t>https://www.eaton.com/content/dam/eaton/products/electronic-components/resources/data-sheet/eaton-s-4000-t2-fuse-block-data-sheet-elx1018-en.pdf</t>
  </si>
  <si>
    <t>283-BK4-4004-1-R-ND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</si>
</sst>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u/>
      <sz val="10"/>
      <color theme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3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/>
    <xf numFmtId="0" fontId="4" fillId="0" borderId="1" xfId="1" applyBorder="1"/>
    <xf numFmtId="14" fontId="3" fillId="0" borderId="1" xfId="0" applyNumberFormat="1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164" fontId="3" fillId="0" borderId="2" xfId="0" applyNumberFormat="1" applyFont="1" applyBorder="1"/>
    <xf numFmtId="0" fontId="2" fillId="2" borderId="1" xfId="0" applyFont="1" applyFill="1" applyBorder="1"/>
    <xf numFmtId="0" fontId="5" fillId="2" borderId="1" xfId="0" applyFont="1" applyFill="1" applyBorder="1"/>
    <xf numFmtId="0" fontId="6" fillId="0" borderId="1" xfId="0" applyFont="1" applyBorder="1"/>
    <xf numFmtId="164" fontId="5" fillId="3" borderId="2" xfId="0" applyNumberFormat="1" applyFont="1" applyFill="1" applyBorder="1"/>
    <xf numFmtId="164" fontId="6" fillId="0" borderId="1" xfId="0" applyNumberFormat="1" applyFont="1" applyBorder="1"/>
    <xf numFmtId="0" fontId="7" fillId="0" borderId="1" xfId="0" applyFont="1" applyBorder="1"/>
    <xf numFmtId="3" fontId="6" fillId="0" borderId="1" xfId="0" applyNumberFormat="1" applyFont="1" applyBorder="1"/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ssets.nexperia.com/documents/data-sheet/74HC_HCT165_Q100.pdf" TargetMode="External"/><Relationship Id="rId1" Type="http://schemas.openxmlformats.org/officeDocument/2006/relationships/hyperlink" Target="https://www.mouser.com/ProductDetail/Nexperia/74HC165D-Q100118?qs=sGAEpiMZZMutXGli8Ay4kD1Rik6g2cV%252B%252BQvCmhxAH0s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O24"/>
  <sheetViews>
    <sheetView tabSelected="1" workbookViewId="0">
      <selection activeCell="F14" sqref="F14"/>
    </sheetView>
  </sheetViews>
  <sheetFormatPr defaultColWidth="12.5703125" defaultRowHeight="15.75" customHeight="1" x14ac:dyDescent="0.2"/>
  <cols>
    <col min="1" max="1" width="3.42578125" customWidth="1"/>
    <col min="2" max="2" width="23.5703125" bestFit="1" customWidth="1"/>
    <col min="3" max="3" width="8.5703125" bestFit="1" customWidth="1"/>
    <col min="4" max="5" width="10" bestFit="1" customWidth="1"/>
    <col min="6" max="6" width="13.140625" customWidth="1"/>
    <col min="7" max="7" width="20" bestFit="1" customWidth="1"/>
    <col min="8" max="8" width="12.140625" customWidth="1"/>
    <col min="9" max="9" width="14.7109375" customWidth="1"/>
    <col min="10" max="10" width="10.42578125" bestFit="1" customWidth="1"/>
    <col min="11" max="11" width="18.7109375" bestFit="1" customWidth="1"/>
    <col min="12" max="12" width="43.28515625" bestFit="1" customWidth="1"/>
    <col min="13" max="13" width="9.42578125" customWidth="1"/>
    <col min="14" max="14" width="6.85546875" customWidth="1"/>
    <col min="15" max="15" width="39.140625" bestFit="1" customWidth="1"/>
  </cols>
  <sheetData>
    <row r="1" spans="2:15" ht="12.75" x14ac:dyDescent="0.2"/>
    <row r="2" spans="2:15" ht="30" x14ac:dyDescent="0.4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15" ht="15.75" customHeight="1" x14ac:dyDescent="0.2">
      <c r="B3" s="13" t="s">
        <v>1</v>
      </c>
      <c r="C3" s="14" t="s">
        <v>43</v>
      </c>
      <c r="D3" s="14" t="s">
        <v>44</v>
      </c>
      <c r="E3" s="14" t="s">
        <v>40</v>
      </c>
      <c r="F3" s="13" t="s">
        <v>2</v>
      </c>
      <c r="G3" s="13" t="s">
        <v>3</v>
      </c>
      <c r="H3" s="13" t="s">
        <v>4</v>
      </c>
      <c r="I3" s="13" t="s">
        <v>5</v>
      </c>
      <c r="J3" s="13" t="s">
        <v>6</v>
      </c>
      <c r="K3" s="13" t="s">
        <v>7</v>
      </c>
      <c r="L3" s="13" t="s">
        <v>8</v>
      </c>
    </row>
    <row r="4" spans="2:15" ht="15.75" customHeight="1" x14ac:dyDescent="0.2">
      <c r="B4" s="7" t="s">
        <v>17</v>
      </c>
      <c r="C4" s="5">
        <v>3</v>
      </c>
      <c r="D4" s="6">
        <v>0.24</v>
      </c>
      <c r="E4" s="6">
        <f t="shared" ref="E4:E11" si="0">C4*D4</f>
        <v>0.72</v>
      </c>
      <c r="F4" s="7" t="s">
        <v>20</v>
      </c>
      <c r="G4" s="7" t="s">
        <v>18</v>
      </c>
      <c r="H4" s="8" t="s">
        <v>19</v>
      </c>
      <c r="I4" s="8" t="s">
        <v>21</v>
      </c>
      <c r="J4" s="7" t="s">
        <v>22</v>
      </c>
      <c r="K4" s="7" t="s">
        <v>23</v>
      </c>
      <c r="L4" s="7" t="s">
        <v>9</v>
      </c>
    </row>
    <row r="5" spans="2:15" ht="15.75" customHeight="1" x14ac:dyDescent="0.2">
      <c r="B5" s="15" t="s">
        <v>41</v>
      </c>
      <c r="C5" s="5">
        <v>2</v>
      </c>
      <c r="D5" s="6">
        <v>8.4000000000000005E-2</v>
      </c>
      <c r="E5" s="6">
        <f t="shared" si="0"/>
        <v>0.16800000000000001</v>
      </c>
      <c r="F5" s="7" t="s">
        <v>10</v>
      </c>
      <c r="G5" s="7" t="s">
        <v>11</v>
      </c>
      <c r="H5" s="7"/>
      <c r="I5" s="7"/>
      <c r="J5" s="7" t="s">
        <v>12</v>
      </c>
      <c r="K5" s="7" t="s">
        <v>13</v>
      </c>
      <c r="L5" s="15" t="s">
        <v>45</v>
      </c>
    </row>
    <row r="6" spans="2:15" ht="15.75" customHeight="1" x14ac:dyDescent="0.2">
      <c r="B6" s="15" t="s">
        <v>42</v>
      </c>
      <c r="C6" s="5">
        <v>16</v>
      </c>
      <c r="D6" s="6">
        <v>1.7999999999999999E-2</v>
      </c>
      <c r="E6" s="6">
        <f t="shared" si="0"/>
        <v>0.28799999999999998</v>
      </c>
      <c r="F6" s="7" t="s">
        <v>14</v>
      </c>
      <c r="G6" s="7" t="s">
        <v>15</v>
      </c>
      <c r="H6" s="10"/>
      <c r="I6" s="10"/>
      <c r="J6" s="7" t="s">
        <v>12</v>
      </c>
      <c r="K6" s="7" t="s">
        <v>16</v>
      </c>
      <c r="L6" s="15" t="s">
        <v>49</v>
      </c>
    </row>
    <row r="7" spans="2:15" ht="15.75" customHeight="1" x14ac:dyDescent="0.2">
      <c r="B7" s="7" t="s">
        <v>24</v>
      </c>
      <c r="C7" s="5">
        <v>2</v>
      </c>
      <c r="D7" s="6">
        <v>1.66</v>
      </c>
      <c r="E7" s="6">
        <f t="shared" si="0"/>
        <v>3.32</v>
      </c>
      <c r="F7" s="7" t="s">
        <v>31</v>
      </c>
      <c r="G7" s="11" t="s">
        <v>32</v>
      </c>
      <c r="H7" s="7" t="s">
        <v>35</v>
      </c>
      <c r="I7" s="7" t="s">
        <v>36</v>
      </c>
      <c r="J7" s="7" t="s">
        <v>30</v>
      </c>
      <c r="K7" s="7" t="s">
        <v>29</v>
      </c>
      <c r="L7" s="15" t="s">
        <v>46</v>
      </c>
    </row>
    <row r="8" spans="2:15" ht="15.75" customHeight="1" x14ac:dyDescent="0.2">
      <c r="B8" s="7" t="s">
        <v>25</v>
      </c>
      <c r="C8" s="5">
        <v>16</v>
      </c>
      <c r="D8" s="6">
        <v>0.28000000000000003</v>
      </c>
      <c r="E8" s="6">
        <f t="shared" si="0"/>
        <v>4.4800000000000004</v>
      </c>
      <c r="F8" s="7" t="s">
        <v>28</v>
      </c>
      <c r="G8" s="7" t="s">
        <v>27</v>
      </c>
      <c r="H8" s="7" t="s">
        <v>33</v>
      </c>
      <c r="I8" s="7" t="s">
        <v>34</v>
      </c>
      <c r="J8" s="7" t="s">
        <v>22</v>
      </c>
      <c r="K8" s="7" t="s">
        <v>26</v>
      </c>
      <c r="L8" s="15" t="s">
        <v>47</v>
      </c>
    </row>
    <row r="9" spans="2:15" ht="15.75" customHeight="1" x14ac:dyDescent="0.2">
      <c r="B9" s="7" t="s">
        <v>37</v>
      </c>
      <c r="C9" s="5">
        <v>1</v>
      </c>
      <c r="D9" s="6">
        <v>9.99</v>
      </c>
      <c r="E9" s="6">
        <f t="shared" si="0"/>
        <v>9.99</v>
      </c>
      <c r="F9" s="7" t="s">
        <v>38</v>
      </c>
      <c r="G9" s="7" t="s">
        <v>39</v>
      </c>
      <c r="H9" s="7"/>
      <c r="I9" s="7"/>
      <c r="J9" s="7" t="s">
        <v>12</v>
      </c>
      <c r="K9" s="7" t="s">
        <v>13</v>
      </c>
      <c r="L9" s="15" t="s">
        <v>48</v>
      </c>
      <c r="M9" s="1"/>
      <c r="N9" s="2"/>
      <c r="O9" s="1"/>
    </row>
    <row r="10" spans="2:15" ht="15.75" customHeight="1" x14ac:dyDescent="0.2">
      <c r="B10" s="15" t="s">
        <v>50</v>
      </c>
      <c r="C10" s="5">
        <v>3</v>
      </c>
      <c r="D10" s="17">
        <v>1.08</v>
      </c>
      <c r="E10" s="17">
        <f t="shared" si="0"/>
        <v>3.24</v>
      </c>
      <c r="F10" s="15" t="s">
        <v>51</v>
      </c>
      <c r="G10" s="15" t="s">
        <v>55</v>
      </c>
      <c r="H10" s="7" t="s">
        <v>53</v>
      </c>
      <c r="I10" s="7" t="s">
        <v>54</v>
      </c>
      <c r="J10" s="15" t="s">
        <v>30</v>
      </c>
      <c r="K10" s="18" t="s">
        <v>52</v>
      </c>
      <c r="L10" s="15" t="s">
        <v>56</v>
      </c>
      <c r="N10" s="2"/>
    </row>
    <row r="11" spans="2:15" ht="15.75" customHeight="1" x14ac:dyDescent="0.2">
      <c r="B11" s="19" t="s">
        <v>57</v>
      </c>
      <c r="C11" s="7">
        <v>3</v>
      </c>
      <c r="D11" s="17">
        <v>1.39</v>
      </c>
      <c r="E11" s="17">
        <f t="shared" si="0"/>
        <v>4.17</v>
      </c>
      <c r="F11" s="15" t="s">
        <v>58</v>
      </c>
      <c r="G11" s="15" t="s">
        <v>59</v>
      </c>
      <c r="H11" s="10" t="s">
        <v>60</v>
      </c>
      <c r="I11" s="10" t="s">
        <v>61</v>
      </c>
      <c r="J11" s="15" t="s">
        <v>30</v>
      </c>
      <c r="K11" s="15" t="s">
        <v>62</v>
      </c>
      <c r="L11" s="9"/>
      <c r="N11" s="2"/>
    </row>
    <row r="12" spans="2:15" ht="15.75" customHeight="1" x14ac:dyDescent="0.2">
      <c r="B12" s="2"/>
      <c r="C12" s="3"/>
      <c r="D12" s="16" t="s">
        <v>40</v>
      </c>
      <c r="E12" s="12">
        <f>SUM(E4:E11)</f>
        <v>26.376000000000005</v>
      </c>
      <c r="L12" s="4"/>
      <c r="N12" s="2"/>
    </row>
    <row r="13" spans="2:15" ht="15.75" customHeight="1" x14ac:dyDescent="0.2">
      <c r="B13" s="2"/>
      <c r="C13" s="3"/>
      <c r="D13" s="3"/>
      <c r="L13" s="4"/>
      <c r="N13" s="2"/>
    </row>
    <row r="14" spans="2:15" ht="15.75" customHeight="1" x14ac:dyDescent="0.2">
      <c r="B14" s="2"/>
      <c r="C14" s="3"/>
      <c r="D14" s="3"/>
      <c r="L14" s="4"/>
      <c r="N14" s="2"/>
    </row>
    <row r="15" spans="2:15" ht="15.75" customHeight="1" x14ac:dyDescent="0.2">
      <c r="B15" s="2"/>
      <c r="C15" s="3"/>
      <c r="D15" s="3"/>
      <c r="L15" s="4"/>
      <c r="N15" s="2"/>
    </row>
    <row r="16" spans="2:15" ht="15.75" customHeight="1" x14ac:dyDescent="0.2">
      <c r="B16" s="2"/>
      <c r="C16" s="3"/>
      <c r="D16" s="3"/>
      <c r="L16" s="4"/>
      <c r="N16" s="2"/>
    </row>
    <row r="17" spans="2:14" ht="15.75" customHeight="1" x14ac:dyDescent="0.2">
      <c r="B17" s="2"/>
      <c r="C17" s="3"/>
      <c r="D17" s="3"/>
      <c r="L17" s="4"/>
      <c r="N17" s="2"/>
    </row>
    <row r="18" spans="2:14" ht="15.75" customHeight="1" x14ac:dyDescent="0.2">
      <c r="B18" s="2"/>
      <c r="C18" s="3"/>
      <c r="D18" s="3"/>
      <c r="L18" s="4"/>
      <c r="N18" s="2"/>
    </row>
    <row r="19" spans="2:14" ht="15.75" customHeight="1" x14ac:dyDescent="0.2">
      <c r="B19" s="2"/>
      <c r="C19" s="3"/>
      <c r="D19" s="3"/>
      <c r="L19" s="4"/>
      <c r="N19" s="2"/>
    </row>
    <row r="20" spans="2:14" ht="15.75" customHeight="1" x14ac:dyDescent="0.2">
      <c r="B20" s="2"/>
      <c r="C20" s="3"/>
      <c r="D20" s="3"/>
      <c r="L20" s="4"/>
      <c r="N20" s="2"/>
    </row>
    <row r="21" spans="2:14" ht="15.75" customHeight="1" x14ac:dyDescent="0.2">
      <c r="B21" s="2"/>
      <c r="C21" s="3"/>
      <c r="D21" s="3"/>
      <c r="L21" s="4"/>
      <c r="N21" s="2"/>
    </row>
    <row r="22" spans="2:14" ht="15.75" customHeight="1" x14ac:dyDescent="0.2">
      <c r="B22" s="2"/>
      <c r="C22" s="3"/>
      <c r="D22" s="3"/>
      <c r="L22" s="4"/>
      <c r="N22" s="2"/>
    </row>
    <row r="23" spans="2:14" ht="15.75" customHeight="1" x14ac:dyDescent="0.2">
      <c r="B23" s="2"/>
      <c r="C23" s="3"/>
      <c r="D23" s="3"/>
      <c r="L23" s="4"/>
      <c r="N23" s="2"/>
    </row>
    <row r="24" spans="2:14" ht="15.75" customHeight="1" x14ac:dyDescent="0.2">
      <c r="B24" s="2"/>
      <c r="C24" s="3"/>
      <c r="D24" s="3"/>
      <c r="L24" s="4"/>
      <c r="N24" s="2"/>
    </row>
  </sheetData>
  <mergeCells count="1">
    <mergeCell ref="B2:L2"/>
  </mergeCells>
  <hyperlinks>
    <hyperlink ref="H4" r:id="rId1" xr:uid="{71F92B68-5AF9-4964-86D1-EF1E596E8255}"/>
    <hyperlink ref="I4" r:id="rId2" xr:uid="{120700BC-C273-4E2A-9F63-48B560E5AE8A}"/>
  </hyperlinks>
  <pageMargins left="0.7" right="0.7" top="0.75" bottom="0.75" header="0.3" footer="0.3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Sanderson (Student)</cp:lastModifiedBy>
  <cp:lastPrinted>2025-11-03T04:03:38Z</cp:lastPrinted>
  <dcterms:created xsi:type="dcterms:W3CDTF">2025-11-03T04:44:31Z</dcterms:created>
  <dcterms:modified xsi:type="dcterms:W3CDTF">2025-11-03T04:44:31Z</dcterms:modified>
</cp:coreProperties>
</file>
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fr5\Downloads\"/>
    </mc:Choice>
  </mc:AlternateContent>
  <xr:revisionPtr revIDLastSave="0" documentId="13_ncr:1_{A4CC94E2-4457-4E02-A7CF-068CDB36BA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13" i="1"/>
  <c r="G12" i="1"/>
  <c r="G18" i="1"/>
  <c r="G9" i="1"/>
  <c r="G8" i="1"/>
  <c r="G7" i="1"/>
  <c r="G14" i="1" l="1"/>
  <c r="G16" i="1" s="1"/>
  <c r="G19" i="1" s="1"/>
  <c r="G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<sst xmlns="http://schemas.openxmlformats.org/spreadsheetml/2006/main" count="76" uniqueCount="40">
  <si>
    <t>Power Budget Example</t>
  </si>
  <si>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</si>
  <si>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</si>
  <si>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</si>
  <si>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</si>
  <si>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</si>
  <si>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</si>
  <si>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</si>
  <si>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</si>
  <si>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</si>
  <si>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</si>
  <si>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</si>
  <si>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</si>
  <si>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</si>
  <si>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</si>
  <si>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 xml:space="preserve">Subtotal </t>
  </si>
  <si>
    <t>Safety Margin</t>
  </si>
  <si>
    <t xml:space="preserve"> +5V Power Rail</t>
  </si>
  <si>
    <t>Total Current Required on +5V Rail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</si>
  <si>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</si>
  <si>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</si>
  <si>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</si>
  <si>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</si>
  <si>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</si>
  <si>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110VAC</t>
  </si>
  <si>
    <t>Power Rails Connected to External Power Source 1</t>
  </si>
  <si>
    <t>Total Remaining Current Available on External Power Source 1</t>
  </si>
  <si>
    <t xml:space="preserve"> +9V</t>
  </si>
  <si>
    <t>Auto-Lock Door Sensor</t>
  </si>
  <si>
    <t>Matthew Sanderson, Andrew Imoukhuede, Dylan Vierra-Guillermo, Bryce Weber</t>
  </si>
  <si>
    <t>74HC165 Shift Register</t>
  </si>
  <si>
    <t>AOT2618L MOSFET</t>
  </si>
  <si>
    <t xml:space="preserve"> +1.8 - 5.1V</t>
  </si>
  <si>
    <t xml:space="preserve"> +2 - 6V</t>
  </si>
  <si>
    <t>74HC165</t>
  </si>
  <si>
    <t>PIC18F57Q43</t>
  </si>
  <si>
    <t>AOT2618L TO-220</t>
  </si>
  <si>
    <t xml:space="preserve"> -20V - +20V</t>
  </si>
  <si>
    <t>Curiosity Nano</t>
  </si>
  <si>
    <t>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</si>
</sst>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24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6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6" fillId="0" borderId="7" xfId="0" applyFont="1" applyBorder="1"/>
    <xf numFmtId="0" fontId="2" fillId="0" borderId="6" xfId="0" applyFont="1" applyBorder="1"/>
    <xf numFmtId="0" fontId="4" fillId="0" borderId="0" xfId="0" applyFont="1" applyAlignment="1">
      <alignment horizontal="center"/>
    </xf>
    <xf numFmtId="0" fontId="2" fillId="0" borderId="7" xfId="0" applyFont="1" applyBorder="1"/>
    <xf numFmtId="0" fontId="5" fillId="2" borderId="8" xfId="0" applyFont="1" applyFill="1" applyBorder="1"/>
    <xf numFmtId="9" fontId="0" fillId="0" borderId="7" xfId="0" applyNumberFormat="1" applyBorder="1"/>
    <xf numFmtId="0" fontId="7" fillId="0" borderId="6" xfId="0" applyFont="1" applyBorder="1"/>
    <xf numFmtId="0" fontId="5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0" fontId="5" fillId="0" borderId="9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10" xfId="0" applyFont="1" applyBorder="1"/>
    <xf numFmtId="0" fontId="5" fillId="0" borderId="9" xfId="0" applyFont="1" applyBorder="1" applyAlignment="1">
      <alignment wrapText="1"/>
    </xf>
    <xf numFmtId="0" fontId="3" fillId="0" borderId="11" xfId="0" applyFont="1" applyBorder="1"/>
    <xf numFmtId="0" fontId="9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/>
    </xf>
    <xf numFmtId="49" fontId="5" fillId="0" borderId="16" xfId="0" applyNumberFormat="1" applyFont="1" applyBorder="1" applyAlignment="1">
      <alignment horizontal="right"/>
    </xf>
    <xf numFmtId="0" fontId="3" fillId="0" borderId="16" xfId="0" applyFont="1" applyBorder="1"/>
    <xf numFmtId="0" fontId="0" fillId="0" borderId="17" xfId="0" applyBorder="1" applyAlignment="1">
      <alignment horizontal="right"/>
    </xf>
    <xf numFmtId="0" fontId="6" fillId="0" borderId="17" xfId="0" applyFont="1" applyBorder="1"/>
    <xf numFmtId="0" fontId="8" fillId="0" borderId="18" xfId="0" applyFont="1" applyBorder="1" applyAlignment="1">
      <alignment horizontal="left" vertical="center" wrapText="1"/>
    </xf>
    <xf numFmtId="0" fontId="0" fillId="0" borderId="16" xfId="0" applyBorder="1"/>
    <xf numFmtId="0" fontId="6" fillId="0" borderId="17" xfId="0" applyFont="1" applyBorder="1" applyAlignment="1">
      <alignment horizontal="right"/>
    </xf>
    <xf numFmtId="0" fontId="6" fillId="0" borderId="1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4" fillId="0" borderId="8" xfId="0" applyFont="1" applyBorder="1"/>
    <xf numFmtId="0" fontId="2" fillId="0" borderId="20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5" xfId="0" applyFont="1" applyBorder="1"/>
    <xf numFmtId="0" fontId="2" fillId="0" borderId="19" xfId="0" applyFont="1" applyBorder="1" applyAlignment="1">
      <alignment horizontal="left"/>
    </xf>
    <xf numFmtId="0" fontId="8" fillId="2" borderId="1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B16" sqref="B16:F16"/>
    </sheetView>
  </sheetViews>
  <sheetFormatPr defaultColWidth="13.5" defaultRowHeight="15.75" customHeight="1" x14ac:dyDescent="0.25"/>
  <cols>
    <col min="1" max="1" width="26.375" bestFit="1" customWidth="1"/>
    <col min="2" max="2" width="20.5" customWidth="1"/>
    <col min="3" max="3" width="15.875" bestFit="1" customWidth="1"/>
    <col min="4" max="4" width="11.375" customWidth="1"/>
    <col min="5" max="5" width="8.25" customWidth="1"/>
    <col min="6" max="6" width="13" customWidth="1"/>
    <col min="7" max="7" width="8.5" customWidth="1"/>
    <col min="8" max="8" width="5.875" bestFit="1" customWidth="1"/>
  </cols>
  <sheetData>
    <row r="1" spans="1:8" ht="30" customHeight="1" x14ac:dyDescent="0.5">
      <c r="A1" s="34" t="s">
        <v>0</v>
      </c>
      <c r="B1" s="35"/>
      <c r="C1" s="35"/>
      <c r="D1" s="35"/>
      <c r="E1" s="35"/>
      <c r="F1" s="35"/>
      <c r="G1" s="35"/>
      <c r="H1" s="35"/>
    </row>
    <row r="2" spans="1:8" ht="15" customHeight="1" x14ac:dyDescent="0.25">
      <c r="A2" s="1" t="s">
        <v>1</v>
      </c>
      <c r="B2" s="2">
        <v>209</v>
      </c>
      <c r="D2" s="3"/>
      <c r="E2" s="3"/>
    </row>
    <row r="3" spans="1:8" ht="15" customHeight="1" x14ac:dyDescent="0.25">
      <c r="A3" s="4" t="s">
        <v>2</v>
      </c>
      <c r="B3" s="54" t="s">
        <v>28</v>
      </c>
      <c r="C3" s="55"/>
      <c r="D3" s="56"/>
      <c r="E3" s="56"/>
      <c r="F3" s="55"/>
      <c r="G3" s="5"/>
      <c r="H3" s="5"/>
    </row>
    <row r="4" spans="1:8" ht="15" customHeight="1" x14ac:dyDescent="0.25">
      <c r="A4" s="53" t="s">
        <v>3</v>
      </c>
      <c r="B4" s="58" t="s">
        <v>29</v>
      </c>
      <c r="C4" s="58"/>
      <c r="D4" s="58"/>
      <c r="E4" s="58"/>
      <c r="F4" s="58"/>
      <c r="G4" s="5"/>
      <c r="H4" s="5"/>
    </row>
    <row r="5" spans="1:8" ht="15" customHeight="1" x14ac:dyDescent="0.25">
      <c r="A5" s="4" t="s">
        <v>4</v>
      </c>
      <c r="B5" s="57">
        <v>1</v>
      </c>
      <c r="C5" s="55"/>
      <c r="D5" s="56"/>
      <c r="E5" s="56"/>
      <c r="F5" s="55"/>
      <c r="G5" s="5"/>
      <c r="H5" s="5"/>
    </row>
    <row r="6" spans="1:8" ht="47.25" x14ac:dyDescent="0.25">
      <c r="A6" s="7" t="s">
        <v>5</v>
      </c>
      <c r="B6" s="8" t="s">
        <v>6</v>
      </c>
      <c r="C6" s="8" t="s">
        <v>7</v>
      </c>
      <c r="D6" s="27" t="s">
        <v>8</v>
      </c>
      <c r="E6" s="9" t="s">
        <v>9</v>
      </c>
      <c r="F6" s="42" t="s">
        <v>10</v>
      </c>
      <c r="G6" s="59" t="s">
        <v>11</v>
      </c>
      <c r="H6" s="43" t="s">
        <v>12</v>
      </c>
    </row>
    <row r="7" spans="1:8" ht="15" customHeight="1" x14ac:dyDescent="0.25">
      <c r="A7" s="10"/>
      <c r="B7" t="s">
        <v>30</v>
      </c>
      <c r="C7" t="s">
        <v>34</v>
      </c>
      <c r="D7" s="11" t="s">
        <v>33</v>
      </c>
      <c r="E7" s="12">
        <v>1</v>
      </c>
      <c r="F7">
        <v>60</v>
      </c>
      <c r="G7" s="13">
        <f t="shared" ref="G7:G9" si="0">E7*F7</f>
        <v>60</v>
      </c>
      <c r="H7" s="14" t="s">
        <v>14</v>
      </c>
    </row>
    <row r="8" spans="1:8" ht="15" customHeight="1" x14ac:dyDescent="0.25">
      <c r="A8" s="10"/>
      <c r="B8" t="s">
        <v>38</v>
      </c>
      <c r="C8" t="s">
        <v>35</v>
      </c>
      <c r="D8" s="11" t="s">
        <v>32</v>
      </c>
      <c r="E8" s="12">
        <v>1</v>
      </c>
      <c r="F8">
        <v>500</v>
      </c>
      <c r="G8" s="13">
        <f t="shared" si="0"/>
        <v>500</v>
      </c>
      <c r="H8" s="14" t="s">
        <v>14</v>
      </c>
    </row>
    <row r="9" spans="1:8" ht="15" customHeight="1" x14ac:dyDescent="0.25">
      <c r="A9" s="10"/>
      <c r="B9" t="s">
        <v>31</v>
      </c>
      <c r="C9" t="s">
        <v>36</v>
      </c>
      <c r="D9" s="11" t="s">
        <v>37</v>
      </c>
      <c r="E9" s="12">
        <v>1</v>
      </c>
      <c r="F9">
        <v>1400</v>
      </c>
      <c r="G9" s="13">
        <f t="shared" si="0"/>
        <v>1400</v>
      </c>
      <c r="H9" s="14" t="s">
        <v>14</v>
      </c>
    </row>
    <row r="10" spans="1:8" ht="15" customHeight="1" x14ac:dyDescent="0.25">
      <c r="A10" s="15"/>
      <c r="B10" s="6"/>
      <c r="C10" s="5"/>
      <c r="D10" s="16"/>
      <c r="E10" s="3"/>
      <c r="F10" s="5"/>
      <c r="G10" s="17"/>
      <c r="H10" s="17"/>
    </row>
    <row r="11" spans="1:8" ht="47.25" x14ac:dyDescent="0.25">
      <c r="A11" s="18" t="s">
        <v>17</v>
      </c>
      <c r="B11" s="8" t="s">
        <v>6</v>
      </c>
      <c r="C11" s="8" t="s">
        <v>7</v>
      </c>
      <c r="D11" s="27" t="s">
        <v>8</v>
      </c>
      <c r="E11" s="9" t="s">
        <v>9</v>
      </c>
      <c r="F11" s="42" t="s">
        <v>10</v>
      </c>
      <c r="G11" s="60" t="s">
        <v>11</v>
      </c>
      <c r="H11" s="26" t="s">
        <v>12</v>
      </c>
    </row>
    <row r="12" spans="1:8" ht="15" customHeight="1" x14ac:dyDescent="0.25">
      <c r="A12" s="10"/>
      <c r="B12" t="s">
        <v>30</v>
      </c>
      <c r="C12" t="s">
        <v>34</v>
      </c>
      <c r="D12" s="11" t="s">
        <v>33</v>
      </c>
      <c r="E12" s="12">
        <v>1</v>
      </c>
      <c r="F12">
        <v>60</v>
      </c>
      <c r="G12" s="13">
        <f t="shared" ref="G12:G13" si="1">E12*F12</f>
        <v>60</v>
      </c>
      <c r="H12" s="14" t="s">
        <v>14</v>
      </c>
    </row>
    <row r="13" spans="1:8" ht="15" customHeight="1" x14ac:dyDescent="0.25">
      <c r="A13" s="10"/>
      <c r="B13" t="s">
        <v>38</v>
      </c>
      <c r="C13" t="s">
        <v>35</v>
      </c>
      <c r="D13" s="11" t="s">
        <v>32</v>
      </c>
      <c r="E13" s="12">
        <v>1</v>
      </c>
      <c r="F13">
        <v>500</v>
      </c>
      <c r="G13" s="13">
        <f t="shared" si="1"/>
        <v>500</v>
      </c>
      <c r="H13" s="14" t="s">
        <v>14</v>
      </c>
    </row>
    <row r="14" spans="1:8" ht="15" customHeight="1" x14ac:dyDescent="0.25">
      <c r="A14" s="10"/>
      <c r="B14" s="36" t="s">
        <v>15</v>
      </c>
      <c r="C14" s="35"/>
      <c r="D14" s="35"/>
      <c r="E14" s="35"/>
      <c r="F14" s="35"/>
      <c r="G14" s="13">
        <f>SUM(G12:G13)</f>
        <v>560</v>
      </c>
      <c r="H14" s="14" t="s">
        <v>14</v>
      </c>
    </row>
    <row r="15" spans="1:8" ht="15" customHeight="1" x14ac:dyDescent="0.25">
      <c r="A15" s="10"/>
      <c r="B15" s="36" t="s">
        <v>16</v>
      </c>
      <c r="C15" s="35"/>
      <c r="D15" s="35"/>
      <c r="E15" s="35"/>
      <c r="F15" s="35"/>
      <c r="G15" s="19">
        <v>0.25</v>
      </c>
      <c r="H15" s="19"/>
    </row>
    <row r="16" spans="1:8" ht="15" customHeight="1" x14ac:dyDescent="0.25">
      <c r="A16" s="20"/>
      <c r="B16" s="37" t="s">
        <v>18</v>
      </c>
      <c r="C16" s="35"/>
      <c r="D16" s="35"/>
      <c r="E16" s="35"/>
      <c r="F16" s="35"/>
      <c r="G16" s="13">
        <f>G14*(1+G15)</f>
        <v>700</v>
      </c>
      <c r="H16" s="14" t="s">
        <v>14</v>
      </c>
    </row>
    <row r="17" spans="1:8" ht="15" customHeight="1" x14ac:dyDescent="0.25">
      <c r="A17" s="21"/>
      <c r="B17" s="22"/>
      <c r="C17" s="22"/>
      <c r="D17" s="11"/>
      <c r="E17" s="11"/>
      <c r="F17" s="23"/>
      <c r="G17" s="24"/>
      <c r="H17" s="13"/>
    </row>
    <row r="18" spans="1:8" ht="15" customHeight="1" x14ac:dyDescent="0.25">
      <c r="A18" s="52" t="s">
        <v>39</v>
      </c>
      <c r="B18" t="s">
        <v>31</v>
      </c>
      <c r="C18" t="s">
        <v>36</v>
      </c>
      <c r="D18" s="11" t="s">
        <v>37</v>
      </c>
      <c r="E18" s="12">
        <v>1</v>
      </c>
      <c r="F18">
        <v>1400</v>
      </c>
      <c r="G18" s="13">
        <f t="shared" ref="G18" si="2">E18*F18</f>
        <v>1400</v>
      </c>
      <c r="H18" s="14" t="s">
        <v>14</v>
      </c>
    </row>
    <row r="19" spans="1:8" ht="15" customHeight="1" x14ac:dyDescent="0.25">
      <c r="A19" s="25"/>
      <c r="B19" s="44" t="s">
        <v>19</v>
      </c>
      <c r="C19" s="45"/>
      <c r="D19" s="45"/>
      <c r="E19" s="45"/>
      <c r="F19" s="45"/>
      <c r="G19" s="46">
        <f>G18-G16</f>
        <v>700</v>
      </c>
      <c r="H19" s="47" t="s">
        <v>14</v>
      </c>
    </row>
    <row r="20" spans="1:8" ht="15" customHeight="1" x14ac:dyDescent="0.25">
      <c r="A20" s="39"/>
      <c r="B20" s="38"/>
      <c r="C20" s="38"/>
      <c r="D20" s="38"/>
      <c r="E20" s="38"/>
      <c r="F20" s="38"/>
      <c r="G20" s="38"/>
      <c r="H20" s="40"/>
    </row>
    <row r="21" spans="1:8" ht="47.25" x14ac:dyDescent="0.25">
      <c r="A21" s="18" t="s">
        <v>20</v>
      </c>
      <c r="B21" s="8" t="s">
        <v>6</v>
      </c>
      <c r="C21" s="61" t="s">
        <v>7</v>
      </c>
      <c r="D21" s="27" t="s">
        <v>8</v>
      </c>
      <c r="E21" s="27" t="s">
        <v>21</v>
      </c>
      <c r="F21" s="42" t="s">
        <v>10</v>
      </c>
      <c r="G21" s="60" t="s">
        <v>11</v>
      </c>
      <c r="H21" s="26" t="s">
        <v>12</v>
      </c>
    </row>
    <row r="22" spans="1:8" ht="15" customHeight="1" x14ac:dyDescent="0.25">
      <c r="A22" s="28" t="s">
        <v>22</v>
      </c>
      <c r="B22" s="22" t="s">
        <v>23</v>
      </c>
      <c r="C22" s="11" t="s">
        <v>13</v>
      </c>
      <c r="D22" s="11" t="s">
        <v>24</v>
      </c>
      <c r="E22" s="41" t="s">
        <v>27</v>
      </c>
      <c r="F22" s="23">
        <v>3000</v>
      </c>
      <c r="G22" s="29">
        <v>5000</v>
      </c>
      <c r="H22" s="30" t="s">
        <v>14</v>
      </c>
    </row>
    <row r="23" spans="1:8" ht="15" customHeight="1" x14ac:dyDescent="0.25">
      <c r="A23" s="31"/>
      <c r="B23" s="22"/>
      <c r="C23" s="22"/>
      <c r="D23" s="11"/>
      <c r="E23" s="11"/>
      <c r="F23" s="23"/>
      <c r="G23" s="24"/>
      <c r="H23" s="32"/>
    </row>
    <row r="24" spans="1:8" ht="31.5" x14ac:dyDescent="0.25">
      <c r="A24" s="33" t="s">
        <v>25</v>
      </c>
      <c r="B24" t="s">
        <v>31</v>
      </c>
      <c r="C24" t="s">
        <v>36</v>
      </c>
      <c r="D24" s="11" t="s">
        <v>37</v>
      </c>
      <c r="E24" s="12">
        <v>1</v>
      </c>
      <c r="F24">
        <v>1400</v>
      </c>
      <c r="G24" s="13">
        <f t="shared" ref="G24" si="3">E24*F24</f>
        <v>1400</v>
      </c>
      <c r="H24" s="14" t="s">
        <v>14</v>
      </c>
    </row>
    <row r="25" spans="1:8" ht="15" customHeight="1" x14ac:dyDescent="0.25">
      <c r="A25" s="48"/>
      <c r="B25" s="44" t="s">
        <v>26</v>
      </c>
      <c r="C25" s="49"/>
      <c r="D25" s="49"/>
      <c r="E25" s="49"/>
      <c r="F25" s="49"/>
      <c r="G25" s="50">
        <f>G22-SUM(G24:G24)</f>
        <v>3600</v>
      </c>
      <c r="H25" s="51" t="s">
        <v>14</v>
      </c>
    </row>
  </sheetData>
  <mergeCells count="8">
    <mergeCell ref="B4:F4"/>
    <mergeCell ref="A20:H20"/>
    <mergeCell ref="B25:F25"/>
    <mergeCell ref="B19:F19"/>
    <mergeCell ref="B14:F14"/>
    <mergeCell ref="B15:F15"/>
    <mergeCell ref="B16:F16"/>
    <mergeCell ref="A1:H1"/>
  </mergeCells>
  <conditionalFormatting sqref="G19">
    <cfRule type="cellIs" dxfId="0" priority="1" operator="lessThan">
      <formula>0</formula>
    </cfRule>
  </conditionalFormatting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Sanderson (Student)</cp:lastModifiedBy>
  <cp:lastPrinted>2025-10-27T07:23:38Z</cp:lastPrinted>
  <dcterms:created xsi:type="dcterms:W3CDTF">2025-10-27T07:22:19Z</dcterms:created>
  <dcterms:modified xsi:type="dcterms:W3CDTF">2025-10-27T07:29:27Z</dcterms:modified>
</cp:coreProperties>
</file>